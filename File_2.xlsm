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16" codeName="{00000000-0000-0000-0000-00000000000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12" documentId="13_ncr:1_{DCA28BC3-B98C-4A43-B260-6AA089D3E65A}" xr6:coauthVersionLast="47" xr6:coauthVersionMax="47" xr10:uidLastSave="{757AC6EB-3C20-48E8-B3EF-D04C849F11C4}"/>
  <bookViews>
    <workbookView xWindow="-108" yWindow="-108" windowWidth="23256" windowHeight="12576" xr2:uid="{0A7B3591-798C-48FC-886D-C822E7A77C12}"/>
  </bookViews>
  <sheets>
    <sheet name="Arkusz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X7" i="1"/>
  <c r="W7" i="1"/>
  <c r="J4" i="1"/>
  <c r="G7" i="1"/>
  <c r="B7" i="1"/>
  <c r="Y8" i="1" a="1"/>
  <c r="Y10" i="1" a="1"/>
  <c r="Y12" i="1" a="1"/>
  <c r="Y14" i="1" a="1"/>
  <c r="Y16" i="1" a="1"/>
  <c r="Y18" i="1" a="1"/>
  <c r="Y20" i="1" a="1"/>
  <c r="Y22" i="1" a="1"/>
  <c r="Y24" i="1" a="1"/>
  <c r="Y26" i="1" a="1"/>
  <c r="Y28" i="1" a="1"/>
  <c r="Y30" i="1" a="1"/>
  <c r="Y32" i="1" a="1"/>
  <c r="Y34" i="1" a="1"/>
  <c r="Y36" i="1" a="1"/>
  <c r="Y38" i="1" a="1"/>
  <c r="Y40" i="1" a="1"/>
  <c r="Y9" i="1" a="1"/>
  <c r="Y11" i="1" a="1"/>
  <c r="Y13" i="1" a="1"/>
  <c r="Y15" i="1" a="1"/>
  <c r="Y17" i="1" a="1"/>
  <c r="Y19" i="1" a="1"/>
  <c r="Y21" i="1" a="1"/>
  <c r="Y23" i="1" a="1"/>
  <c r="Y25" i="1" a="1"/>
  <c r="Y27" i="1" a="1"/>
  <c r="Y29" i="1" a="1"/>
  <c r="Y31" i="1" a="1"/>
  <c r="Y33" i="1" a="1"/>
  <c r="Y35" i="1" a="1"/>
  <c r="Y37" i="1" a="1"/>
  <c r="Y39" i="1" a="1"/>
  <c r="I8" i="1" a="1"/>
  <c r="I10" i="1" a="1"/>
  <c r="I12" i="1" a="1"/>
  <c r="I14" i="1" a="1"/>
  <c r="I16" i="1" a="1"/>
  <c r="I18" i="1" a="1"/>
  <c r="I20" i="1" a="1"/>
  <c r="I22" i="1" a="1"/>
  <c r="I24" i="1" a="1"/>
  <c r="I26" i="1" a="1"/>
  <c r="I28" i="1" a="1"/>
  <c r="I30" i="1" a="1"/>
  <c r="I32" i="1" a="1"/>
  <c r="I34" i="1" a="1"/>
  <c r="I36" i="1" a="1"/>
  <c r="I38" i="1" a="1"/>
  <c r="I40" i="1" a="1"/>
  <c r="I9" i="1" a="1"/>
  <c r="I11" i="1" a="1"/>
  <c r="I13" i="1" a="1"/>
  <c r="I15" i="1" a="1"/>
  <c r="I17" i="1" a="1"/>
  <c r="I19" i="1" a="1"/>
  <c r="I21" i="1" a="1"/>
  <c r="I23" i="1" a="1"/>
  <c r="I25" i="1" a="1"/>
  <c r="I27" i="1" a="1"/>
  <c r="I29" i="1" a="1"/>
  <c r="I31" i="1" a="1"/>
  <c r="I33" i="1" a="1"/>
  <c r="I35" i="1" a="1"/>
  <c r="I37" i="1" a="1"/>
  <c r="I39" i="1" a="1"/>
  <c r="D8" i="1" a="1"/>
  <c r="D10" i="1" a="1"/>
  <c r="D12" i="1" a="1"/>
  <c r="D14" i="1" a="1"/>
  <c r="D16" i="1" a="1"/>
  <c r="D18" i="1" a="1"/>
  <c r="D20" i="1" a="1"/>
  <c r="D22" i="1" a="1"/>
  <c r="D24" i="1" a="1"/>
  <c r="D26" i="1" a="1"/>
  <c r="D28" i="1" a="1"/>
  <c r="D30" i="1" a="1"/>
  <c r="D32" i="1" a="1"/>
  <c r="D34" i="1" a="1"/>
  <c r="D36" i="1" a="1"/>
  <c r="D38" i="1" a="1"/>
  <c r="D40" i="1" a="1"/>
  <c r="D9" i="1" a="1"/>
  <c r="D11" i="1" a="1"/>
  <c r="D13" i="1" a="1"/>
  <c r="D15" i="1" a="1"/>
  <c r="D17" i="1" a="1"/>
  <c r="D19" i="1" a="1"/>
  <c r="D21" i="1" a="1"/>
  <c r="D23" i="1" a="1"/>
  <c r="D25" i="1" a="1"/>
  <c r="D27" i="1" a="1"/>
  <c r="D29" i="1" a="1"/>
  <c r="D31" i="1" a="1"/>
  <c r="D33" i="1" a="1"/>
  <c r="D35" i="1" a="1"/>
  <c r="D37" i="1" a="1"/>
  <c r="D39" i="1" a="1"/>
  <c r="Y7" i="1" a="1"/>
  <c r="I7" i="1" a="1"/>
  <c r="D7" i="1" a="1"/>
  <c r="Y39" i="1" l="1"/>
  <c r="Y37" i="1"/>
  <c r="Y35" i="1"/>
  <c r="Y33" i="1"/>
  <c r="Y31" i="1"/>
  <c r="Y29" i="1"/>
  <c r="Y27" i="1"/>
  <c r="Y25" i="1"/>
  <c r="Y23" i="1"/>
  <c r="Y21" i="1"/>
  <c r="Y19" i="1"/>
  <c r="Y17" i="1"/>
  <c r="Y15" i="1"/>
  <c r="Y13" i="1"/>
  <c r="Y11" i="1"/>
  <c r="Y9" i="1"/>
  <c r="Y40" i="1"/>
  <c r="Y38" i="1"/>
  <c r="Y36" i="1"/>
  <c r="Y34" i="1"/>
  <c r="Y32" i="1"/>
  <c r="Y30" i="1"/>
  <c r="Y28" i="1"/>
  <c r="Y26" i="1"/>
  <c r="Y24" i="1"/>
  <c r="Y22" i="1"/>
  <c r="Y20" i="1"/>
  <c r="Y18" i="1"/>
  <c r="Y16" i="1"/>
  <c r="Y14" i="1"/>
  <c r="Y12" i="1"/>
  <c r="Y10" i="1"/>
  <c r="Y8" i="1"/>
  <c r="I39" i="1"/>
  <c r="I37" i="1"/>
  <c r="I35" i="1"/>
  <c r="I33" i="1"/>
  <c r="I31" i="1"/>
  <c r="I29" i="1"/>
  <c r="I27" i="1"/>
  <c r="I25" i="1"/>
  <c r="I23" i="1"/>
  <c r="I21" i="1"/>
  <c r="I19" i="1"/>
  <c r="I17" i="1"/>
  <c r="I15" i="1"/>
  <c r="I13" i="1"/>
  <c r="I11" i="1"/>
  <c r="I9" i="1"/>
  <c r="I40" i="1"/>
  <c r="I38" i="1"/>
  <c r="I36" i="1"/>
  <c r="I34" i="1"/>
  <c r="I32" i="1"/>
  <c r="I30" i="1"/>
  <c r="I28" i="1"/>
  <c r="I26" i="1"/>
  <c r="I24" i="1"/>
  <c r="I22" i="1"/>
  <c r="I20" i="1"/>
  <c r="I18" i="1"/>
  <c r="I16" i="1"/>
  <c r="I14" i="1"/>
  <c r="I12" i="1"/>
  <c r="I10" i="1"/>
  <c r="I8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13" i="1"/>
  <c r="D11" i="1"/>
  <c r="D9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D8" i="1"/>
  <c r="Y7" i="1"/>
  <c r="I7" i="1"/>
  <c r="H7" i="1" s="1"/>
  <c r="D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<sst xmlns="http://schemas.openxmlformats.org/spreadsheetml/2006/main" count="21" uniqueCount="14">
  <si>
    <t>Podpunkt a</t>
  </si>
  <si>
    <t>Podpunkt b</t>
  </si>
  <si>
    <t>Funkcja c</t>
  </si>
  <si>
    <t>Dokładna wartość całki:</t>
  </si>
  <si>
    <t>Dokładna wartość całki</t>
  </si>
  <si>
    <t>N</t>
  </si>
  <si>
    <t>h</t>
  </si>
  <si>
    <t>błąd</t>
  </si>
  <si>
    <t>obliczona całka</t>
  </si>
  <si>
    <t>W przypadku funkcji z podpunktów a oraz b widzimy, że</t>
  </si>
  <si>
    <t xml:space="preserve">wartość błędu maleje wraz ze wzrostem liczby odcinków </t>
  </si>
  <si>
    <t>na jakie dzielimy przedział [a,b] - dla małych wartości h wartość błędu jest niewielka.</t>
  </si>
  <si>
    <t xml:space="preserve">W przypadku funkcji z ppkt c nie ma powyższej zależności, dla coraz mniejszych h </t>
  </si>
  <si>
    <t>wartość błędu przyjmuje różne, nieregularne wartości.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</si>
</sst>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Błąd przybliżenia całki z funkcji pkt</a:t>
            </a:r>
            <a:r>
              <a:rPr lang="pl-PL" baseline="0"/>
              <a:t> a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Arkusz1!$B$14:$B$40</c:f>
              <c:numCache>
                <c:formatCode>General</c:formatCode>
                <c:ptCount val="27"/>
                <c:pt idx="0">
                  <c:v>0.1</c:v>
                </c:pt>
                <c:pt idx="1">
                  <c:v>9.0909090909090912E-2</c:v>
                </c:pt>
                <c:pt idx="2">
                  <c:v>8.3333333333333329E-2</c:v>
                </c:pt>
                <c:pt idx="3">
                  <c:v>7.6923076923076927E-2</c:v>
                </c:pt>
                <c:pt idx="4">
                  <c:v>7.1428571428571425E-2</c:v>
                </c:pt>
                <c:pt idx="5">
                  <c:v>6.6666666666666666E-2</c:v>
                </c:pt>
                <c:pt idx="6">
                  <c:v>5.8823529411764705E-2</c:v>
                </c:pt>
                <c:pt idx="7">
                  <c:v>0.05</c:v>
                </c:pt>
                <c:pt idx="8">
                  <c:v>0.04</c:v>
                </c:pt>
                <c:pt idx="9">
                  <c:v>0.02</c:v>
                </c:pt>
                <c:pt idx="10">
                  <c:v>1.3333333333333334E-2</c:v>
                </c:pt>
                <c:pt idx="11">
                  <c:v>0.01</c:v>
                </c:pt>
                <c:pt idx="12">
                  <c:v>5.0000000000000001E-3</c:v>
                </c:pt>
                <c:pt idx="13">
                  <c:v>2E-3</c:v>
                </c:pt>
                <c:pt idx="14">
                  <c:v>1.3333333333333333E-3</c:v>
                </c:pt>
                <c:pt idx="15">
                  <c:v>1E-3</c:v>
                </c:pt>
                <c:pt idx="16">
                  <c:v>8.0000000000000004E-4</c:v>
                </c:pt>
                <c:pt idx="17">
                  <c:v>6.6666666666666664E-4</c:v>
                </c:pt>
                <c:pt idx="18">
                  <c:v>5.0000000000000001E-4</c:v>
                </c:pt>
                <c:pt idx="19">
                  <c:v>3.3333333333333332E-4</c:v>
                </c:pt>
                <c:pt idx="20">
                  <c:v>2.5000000000000001E-4</c:v>
                </c:pt>
                <c:pt idx="21">
                  <c:v>2.0000000000000001E-4</c:v>
                </c:pt>
                <c:pt idx="22">
                  <c:v>1.6666666666666666E-4</c:v>
                </c:pt>
                <c:pt idx="23">
                  <c:v>1.4285714285714287E-4</c:v>
                </c:pt>
                <c:pt idx="24">
                  <c:v>1.25E-4</c:v>
                </c:pt>
                <c:pt idx="25">
                  <c:v>1.1111111111111112E-4</c:v>
                </c:pt>
                <c:pt idx="26">
                  <c:v>1E-4</c:v>
                </c:pt>
              </c:numCache>
            </c:numRef>
          </c:xVal>
          <c:yVal>
            <c:numRef>
              <c:f>Arkusz1!$C$14:$C$40</c:f>
              <c:numCache>
                <c:formatCode>General</c:formatCode>
                <c:ptCount val="27"/>
                <c:pt idx="0">
                  <c:v>1.9144928518892712E-3</c:v>
                </c:pt>
                <c:pt idx="1">
                  <c:v>1.6150284262111403E-3</c:v>
                </c:pt>
                <c:pt idx="2">
                  <c:v>1.3822382865298355E-3</c:v>
                </c:pt>
                <c:pt idx="3">
                  <c:v>1.1974921903605829E-3</c:v>
                </c:pt>
                <c:pt idx="4">
                  <c:v>1.0482807319757148E-3</c:v>
                </c:pt>
                <c:pt idx="5">
                  <c:v>9.2594190438166635E-4</c:v>
                </c:pt>
                <c:pt idx="6">
                  <c:v>7.3893032806926495E-4</c:v>
                </c:pt>
                <c:pt idx="7">
                  <c:v>5.5080330263240773E-4</c:v>
                </c:pt>
                <c:pt idx="8">
                  <c:v>3.6738860157198294E-4</c:v>
                </c:pt>
                <c:pt idx="9">
                  <c:v>1.0339902025335856E-4</c:v>
                </c:pt>
                <c:pt idx="10">
                  <c:v>4.8958517351260777E-5</c:v>
                </c:pt>
                <c:pt idx="11">
                  <c:v>2.8737831860192742E-5</c:v>
                </c:pt>
                <c:pt idx="12">
                  <c:v>7.9064839996201286E-6</c:v>
                </c:pt>
                <c:pt idx="13">
                  <c:v>1.4177524598757429E-6</c:v>
                </c:pt>
                <c:pt idx="14">
                  <c:v>6.6014665189850774E-7</c:v>
                </c:pt>
                <c:pt idx="15">
                  <c:v>3.8331924390178074E-7</c:v>
                </c:pt>
                <c:pt idx="16">
                  <c:v>2.5127481051434586E-7</c:v>
                </c:pt>
                <c:pt idx="17">
                  <c:v>1.7787272121871922E-7</c:v>
                </c:pt>
                <c:pt idx="18">
                  <c:v>1.0305009351396777E-7</c:v>
                </c:pt>
                <c:pt idx="19">
                  <c:v>4.7677194858763983E-8</c:v>
                </c:pt>
                <c:pt idx="20">
                  <c:v>2.7567593430255499E-8</c:v>
                </c:pt>
                <c:pt idx="21">
                  <c:v>1.8015166136642335E-8</c:v>
                </c:pt>
                <c:pt idx="22">
                  <c:v>1.272155247811213E-8</c:v>
                </c:pt>
                <c:pt idx="23">
                  <c:v>9.4775259862345251E-9</c:v>
                </c:pt>
                <c:pt idx="24">
                  <c:v>7.3431674629809152E-9</c:v>
                </c:pt>
                <c:pt idx="25">
                  <c:v>5.862595076067123E-9</c:v>
                </c:pt>
                <c:pt idx="26">
                  <c:v>4.7926030921630058E-9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4F-4A8C-83EA-885FC34E7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724056"/>
        <c:axId val="586725696"/>
      </c:scatterChart>
      <c:valAx>
        <c:axId val="586724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Wartość</a:t>
                </a:r>
                <a:r>
                  <a:rPr lang="pl-PL"/>
                  <a:t> h</a:t>
                </a:r>
                <a:r>
                  <a:rPr lang="en-US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725696"/>
        <c:crosses val="autoZero"/>
        <c:crossBetween val="midCat"/>
      </c:valAx>
      <c:valAx>
        <c:axId val="58672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Wartość</a:t>
                </a:r>
                <a:r>
                  <a:rPr lang="pl-PL" baseline="0"/>
                  <a:t> bezwględna błędu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724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b="0" i="0" baseline="0">
                <a:effectLst/>
              </a:rPr>
              <a:t>Błąd przybliżenia całki z funkcji pkt b</a:t>
            </a:r>
            <a:endParaRPr lang="pl-PL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Arkusz1!$G$25:$G$40</c:f>
              <c:numCache>
                <c:formatCode>General</c:formatCode>
                <c:ptCount val="16"/>
                <c:pt idx="0">
                  <c:v>0.04</c:v>
                </c:pt>
                <c:pt idx="1">
                  <c:v>0.02</c:v>
                </c:pt>
                <c:pt idx="2">
                  <c:v>8.0000000000000002E-3</c:v>
                </c:pt>
                <c:pt idx="3">
                  <c:v>5.3333333333333332E-3</c:v>
                </c:pt>
                <c:pt idx="4">
                  <c:v>4.0000000000000001E-3</c:v>
                </c:pt>
                <c:pt idx="5">
                  <c:v>3.2000000000000002E-3</c:v>
                </c:pt>
                <c:pt idx="6">
                  <c:v>2.6666666666666666E-3</c:v>
                </c:pt>
                <c:pt idx="7">
                  <c:v>2E-3</c:v>
                </c:pt>
                <c:pt idx="8">
                  <c:v>1.3333333333333333E-3</c:v>
                </c:pt>
                <c:pt idx="9">
                  <c:v>1E-3</c:v>
                </c:pt>
                <c:pt idx="10">
                  <c:v>8.0000000000000004E-4</c:v>
                </c:pt>
                <c:pt idx="11">
                  <c:v>6.6666666666666664E-4</c:v>
                </c:pt>
                <c:pt idx="12">
                  <c:v>5.7142857142857147E-4</c:v>
                </c:pt>
                <c:pt idx="13">
                  <c:v>5.0000000000000001E-4</c:v>
                </c:pt>
                <c:pt idx="14">
                  <c:v>4.4444444444444447E-4</c:v>
                </c:pt>
                <c:pt idx="15">
                  <c:v>4.0000000000000002E-4</c:v>
                </c:pt>
              </c:numCache>
            </c:numRef>
          </c:xVal>
          <c:yVal>
            <c:numRef>
              <c:f>Arkusz1!$H$25:$H$40</c:f>
              <c:numCache>
                <c:formatCode>General</c:formatCode>
                <c:ptCount val="16"/>
                <c:pt idx="0">
                  <c:v>1.0579630952038954E-3</c:v>
                </c:pt>
                <c:pt idx="1">
                  <c:v>2.6450080163309408E-4</c:v>
                </c:pt>
                <c:pt idx="2">
                  <c:v>4.2320577516630209E-5</c:v>
                </c:pt>
                <c:pt idx="3">
                  <c:v>1.8809166690392232E-5</c:v>
                </c:pt>
                <c:pt idx="4">
                  <c:v>1.0580160425988083E-5</c:v>
                </c:pt>
                <c:pt idx="5">
                  <c:v>6.7713039006989106E-6</c:v>
                </c:pt>
                <c:pt idx="6">
                  <c:v>4.7022948472807968E-6</c:v>
                </c:pt>
                <c:pt idx="7">
                  <c:v>2.6450411025891185E-6</c:v>
                </c:pt>
                <c:pt idx="8">
                  <c:v>1.1755739004470911E-6</c:v>
                </c:pt>
                <c:pt idx="9">
                  <c:v>6.6126034559133018E-7</c:v>
                </c:pt>
                <c:pt idx="10">
                  <c:v>4.2320661597372577E-7</c:v>
                </c:pt>
                <c:pt idx="11">
                  <c:v>2.9389349043285051E-7</c:v>
                </c:pt>
                <c:pt idx="12">
                  <c:v>2.1592175025730853E-7</c:v>
                </c:pt>
                <c:pt idx="13">
                  <c:v>1.653150887293009E-7</c:v>
                </c:pt>
                <c:pt idx="14">
                  <c:v>1.3061931625202305E-7</c:v>
                </c:pt>
                <c:pt idx="15">
                  <c:v>1.0580164788720481E-7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2D-4ACC-8D5E-FC0223307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223112"/>
        <c:axId val="421220816"/>
      </c:scatterChart>
      <c:valAx>
        <c:axId val="421223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Wartość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20816"/>
        <c:crosses val="autoZero"/>
        <c:crossBetween val="midCat"/>
      </c:valAx>
      <c:valAx>
        <c:axId val="42122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100" b="0" i="0" baseline="0">
                    <a:effectLst/>
                  </a:rPr>
                  <a:t>Wartość bezwzględna błędu </a:t>
                </a:r>
                <a:endParaRPr lang="pl-PL" sz="6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23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b="0" i="0" baseline="0">
                <a:effectLst/>
              </a:rPr>
              <a:t>Błąd przybliżenia całki z funkcji pkt c</a:t>
            </a:r>
            <a:endParaRPr lang="pl-PL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Arkusz1!$W$7:$W$40</c:f>
              <c:numCache>
                <c:formatCode>General</c:formatCode>
                <c:ptCount val="34"/>
                <c:pt idx="0">
                  <c:v>0.66666666666666663</c:v>
                </c:pt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0.2857142857142857</c:v>
                </c:pt>
                <c:pt idx="5">
                  <c:v>0.25</c:v>
                </c:pt>
                <c:pt idx="6">
                  <c:v>0.22222222222222221</c:v>
                </c:pt>
                <c:pt idx="7">
                  <c:v>0.2</c:v>
                </c:pt>
                <c:pt idx="8">
                  <c:v>0.18181818181818182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0.14285714285714285</c:v>
                </c:pt>
                <c:pt idx="12">
                  <c:v>0.13333333333333333</c:v>
                </c:pt>
                <c:pt idx="13">
                  <c:v>0.11764705882352941</c:v>
                </c:pt>
                <c:pt idx="14">
                  <c:v>0.1</c:v>
                </c:pt>
                <c:pt idx="15">
                  <c:v>0.08</c:v>
                </c:pt>
                <c:pt idx="16">
                  <c:v>0.04</c:v>
                </c:pt>
                <c:pt idx="17">
                  <c:v>2.6666666666666668E-2</c:v>
                </c:pt>
                <c:pt idx="18">
                  <c:v>0.02</c:v>
                </c:pt>
                <c:pt idx="19">
                  <c:v>0.01</c:v>
                </c:pt>
                <c:pt idx="20">
                  <c:v>4.0000000000000001E-3</c:v>
                </c:pt>
                <c:pt idx="21">
                  <c:v>2.6666666666666666E-3</c:v>
                </c:pt>
                <c:pt idx="22">
                  <c:v>2E-3</c:v>
                </c:pt>
                <c:pt idx="23">
                  <c:v>1.6000000000000001E-3</c:v>
                </c:pt>
                <c:pt idx="24">
                  <c:v>1.3333333333333333E-3</c:v>
                </c:pt>
                <c:pt idx="25">
                  <c:v>1E-3</c:v>
                </c:pt>
                <c:pt idx="26">
                  <c:v>6.6666666666666664E-4</c:v>
                </c:pt>
                <c:pt idx="27">
                  <c:v>5.0000000000000001E-4</c:v>
                </c:pt>
                <c:pt idx="28">
                  <c:v>4.0000000000000002E-4</c:v>
                </c:pt>
                <c:pt idx="29">
                  <c:v>3.3333333333333332E-4</c:v>
                </c:pt>
                <c:pt idx="30">
                  <c:v>2.8571428571428574E-4</c:v>
                </c:pt>
                <c:pt idx="31">
                  <c:v>2.5000000000000001E-4</c:v>
                </c:pt>
                <c:pt idx="32">
                  <c:v>2.2222222222222223E-4</c:v>
                </c:pt>
                <c:pt idx="33">
                  <c:v>2.0000000000000001E-4</c:v>
                </c:pt>
              </c:numCache>
            </c:numRef>
          </c:xVal>
          <c:yVal>
            <c:numRef>
              <c:f>Arkusz1!$X$7:$X$40</c:f>
              <c:numCache>
                <c:formatCode>General</c:formatCode>
                <c:ptCount val="34"/>
                <c:pt idx="0">
                  <c:v>1.119167692548162E-16</c:v>
                </c:pt>
                <c:pt idx="1">
                  <c:v>0</c:v>
                </c:pt>
                <c:pt idx="2">
                  <c:v>4.0129032909119733E-17</c:v>
                </c:pt>
                <c:pt idx="3">
                  <c:v>1.962405932198763E-17</c:v>
                </c:pt>
                <c:pt idx="4">
                  <c:v>4.9331198848090452E-18</c:v>
                </c:pt>
                <c:pt idx="5">
                  <c:v>0</c:v>
                </c:pt>
                <c:pt idx="6">
                  <c:v>1.1793409131211074E-16</c:v>
                </c:pt>
                <c:pt idx="7">
                  <c:v>5.6168448798327164E-17</c:v>
                </c:pt>
                <c:pt idx="8">
                  <c:v>8.1037336129713422E-17</c:v>
                </c:pt>
                <c:pt idx="9">
                  <c:v>3.2919088462091128E-17</c:v>
                </c:pt>
                <c:pt idx="10">
                  <c:v>1.7564075194265172E-17</c:v>
                </c:pt>
                <c:pt idx="11">
                  <c:v>1.7887302966937413E-16</c:v>
                </c:pt>
                <c:pt idx="12">
                  <c:v>2.2104171791548222E-17</c:v>
                </c:pt>
                <c:pt idx="13">
                  <c:v>4.9873299934333204E-18</c:v>
                </c:pt>
                <c:pt idx="14">
                  <c:v>8.4947240214239272E-17</c:v>
                </c:pt>
                <c:pt idx="15">
                  <c:v>3.4223519200862751E-17</c:v>
                </c:pt>
                <c:pt idx="16">
                  <c:v>1.565316886525947E-18</c:v>
                </c:pt>
                <c:pt idx="17">
                  <c:v>6.1299774392793716E-17</c:v>
                </c:pt>
                <c:pt idx="18">
                  <c:v>6.1982482948280682E-17</c:v>
                </c:pt>
                <c:pt idx="19">
                  <c:v>5.8017945238656929E-17</c:v>
                </c:pt>
                <c:pt idx="20">
                  <c:v>3.5804717955149716E-17</c:v>
                </c:pt>
                <c:pt idx="21">
                  <c:v>3.7578616704937035E-18</c:v>
                </c:pt>
                <c:pt idx="22">
                  <c:v>2.8957727126019579E-17</c:v>
                </c:pt>
                <c:pt idx="23">
                  <c:v>2.8054101789976851E-17</c:v>
                </c:pt>
                <c:pt idx="24">
                  <c:v>1.2215522706519335E-16</c:v>
                </c:pt>
                <c:pt idx="25">
                  <c:v>2.9237936212883142E-17</c:v>
                </c:pt>
                <c:pt idx="26">
                  <c:v>7.3350512133380646E-17</c:v>
                </c:pt>
                <c:pt idx="27">
                  <c:v>5.139134179449052E-18</c:v>
                </c:pt>
                <c:pt idx="28">
                  <c:v>7.3803277713467672E-17</c:v>
                </c:pt>
                <c:pt idx="29">
                  <c:v>1.9321840613385256E-17</c:v>
                </c:pt>
                <c:pt idx="30">
                  <c:v>8.8234760370990424E-17</c:v>
                </c:pt>
                <c:pt idx="31">
                  <c:v>2.4448983982674739E-17</c:v>
                </c:pt>
                <c:pt idx="32">
                  <c:v>1.1393823323577328E-16</c:v>
                </c:pt>
                <c:pt idx="33">
                  <c:v>3.0119313699170645E-17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56-4521-B088-AAC312710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920144"/>
        <c:axId val="418919816"/>
      </c:scatterChart>
      <c:valAx>
        <c:axId val="41892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Wartość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919816"/>
        <c:crosses val="autoZero"/>
        <c:crossBetween val="midCat"/>
      </c:valAx>
      <c:valAx>
        <c:axId val="41891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Wartość bezwzględna błędu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92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396240</xdr:colOff>
      <xdr:row>1</xdr:row>
      <xdr:rowOff>118110</xdr:rowOff>
    </xdr:from>
    <xdr:to>
      <xdr:col>20</xdr:col>
      <xdr:colOff>571500</xdr:colOff>
      <xdr:row>20</xdr:row>
      <xdr:rowOff>152400</xdr:rowOff>
    </xdr:to>
    <xdr:graphicFrame macro="">
      <xdr:nvGraphicFramePr>
        <xdr:cNvPr id="7" name="Wykres 10">
          <a:extLst>
            <a:ext uri="{FF2B5EF4-FFF2-40B4-BE49-F238E27FC236}">
              <a16:creationId xmlns:a16="http://schemas.microsoft.com/office/drawing/2014/main" id="{A91FE3CD-F4BF-4AE2-BC18-DB7C9E7F6C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312420</xdr:colOff>
      <xdr:row>22</xdr:row>
      <xdr:rowOff>41910</xdr:rowOff>
    </xdr:from>
    <xdr:to>
      <xdr:col>21</xdr:col>
      <xdr:colOff>53340</xdr:colOff>
      <xdr:row>43</xdr:row>
      <xdr:rowOff>68580</xdr:rowOff>
    </xdr:to>
    <xdr:graphicFrame macro="">
      <xdr:nvGraphicFramePr>
        <xdr:cNvPr id="16" name="Wykres 11">
          <a:extLst>
            <a:ext uri="{FF2B5EF4-FFF2-40B4-BE49-F238E27FC236}">
              <a16:creationId xmlns:a16="http://schemas.microsoft.com/office/drawing/2014/main" id="{CC848254-1956-44AE-9B9A-76BCAEE9A8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121920</xdr:colOff>
      <xdr:row>44</xdr:row>
      <xdr:rowOff>87630</xdr:rowOff>
    </xdr:from>
    <xdr:to>
      <xdr:col>25</xdr:col>
      <xdr:colOff>220980</xdr:colOff>
      <xdr:row>66</xdr:row>
      <xdr:rowOff>22860</xdr:rowOff>
    </xdr:to>
    <xdr:graphicFrame macro="">
      <xdr:nvGraphicFramePr>
        <xdr:cNvPr id="13" name="Wykres 12">
          <a:extLst>
            <a:ext uri="{FF2B5EF4-FFF2-40B4-BE49-F238E27FC236}">
              <a16:creationId xmlns:a16="http://schemas.microsoft.com/office/drawing/2014/main" id="{436399A3-8835-485D-8CDA-E9E433E882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E8808-A6CC-4C4A-8775-FDB3160D3BAC}">
  <sheetPr codeName="Arkusz1"/>
  <dimension ref="A3:Z49"/>
  <sheetViews>
    <sheetView tabSelected="1" topLeftCell="A28" workbookViewId="0">
      <selection activeCell="C48" sqref="C48"/>
    </sheetView>
  </sheetViews>
  <sheetFormatPr defaultRowHeight="14.45"/>
  <cols>
    <col min="2" max="2" width="9.28515625" bestFit="1" customWidth="1"/>
    <col min="3" max="3" width="9.7109375" customWidth="1"/>
    <col min="10" max="10" width="9.140625" bestFit="1" customWidth="1"/>
    <col min="12" max="12" width="9.140625" bestFit="1" customWidth="1"/>
    <col min="13" max="13" width="9.28515625" customWidth="1"/>
    <col min="24" max="24" width="12" bestFit="1" customWidth="1"/>
    <col min="25" max="25" width="12.7109375" bestFit="1" customWidth="1"/>
  </cols>
  <sheetData>
    <row r="3" spans="1:26">
      <c r="A3" t="s">
        <v>0</v>
      </c>
      <c r="G3" t="s">
        <v>1</v>
      </c>
      <c r="W3" t="s">
        <v>2</v>
      </c>
    </row>
    <row r="4" spans="1:26">
      <c r="A4" t="s">
        <v>3</v>
      </c>
      <c r="D4">
        <v>-0.25</v>
      </c>
      <c r="G4" t="s">
        <v>3</v>
      </c>
      <c r="J4">
        <f xml:space="preserve"> 6 * EXP(1) - 38/EXP(1)</f>
        <v>2.3302722062394619</v>
      </c>
      <c r="W4" t="s">
        <v>4</v>
      </c>
      <c r="Z4">
        <v>0</v>
      </c>
    </row>
    <row r="6" spans="1:26">
      <c r="A6" t="s">
        <v>5</v>
      </c>
      <c r="B6" t="s">
        <v>6</v>
      </c>
      <c r="C6" t="s">
        <v>7</v>
      </c>
      <c r="D6" t="s">
        <v>8</v>
      </c>
      <c r="G6" t="s">
        <v>6</v>
      </c>
      <c r="H6" t="s">
        <v>7</v>
      </c>
      <c r="I6" t="s">
        <v>8</v>
      </c>
      <c r="W6" t="s">
        <v>6</v>
      </c>
      <c r="X6" t="s">
        <v>7</v>
      </c>
      <c r="Y6" t="s">
        <v>8</v>
      </c>
    </row>
    <row r="7" spans="1:26">
      <c r="A7">
        <v>3</v>
      </c>
      <c r="B7">
        <f>1 / A7</f>
        <v>0.33333333333333331</v>
      </c>
      <c r="C7">
        <f xml:space="preserve"> ABS(D7 - $D$4)</f>
        <v>1.5711599715425739E-2</v>
      </c>
      <c r="D7" cm="1">
        <f t="array" ref="D7" xml:space="preserve"> obliczanie_calki_a(A7)</f>
        <v>-0.26571159971542574</v>
      </c>
      <c r="G7">
        <f xml:space="preserve"> 4 / A7</f>
        <v>1.3333333333333333</v>
      </c>
      <c r="H7">
        <f xml:space="preserve"> ABS(I7 - $J$4)</f>
        <v>1.1113006328156281</v>
      </c>
      <c r="I7" cm="1">
        <f t="array" ref="I7" xml:space="preserve"> obliczanie_calki_b(A7)</f>
        <v>1.2189715734238338</v>
      </c>
      <c r="W7">
        <f xml:space="preserve"> 2 / A7</f>
        <v>0.66666666666666663</v>
      </c>
      <c r="X7">
        <f xml:space="preserve"> ABS(Y7 - $Z$4)</f>
        <v>1.119167692548162E-16</v>
      </c>
      <c r="Y7" cm="1">
        <f t="array" ref="Y7" xml:space="preserve"> obliczanie_calki_c(A7)</f>
        <v>-1.119167692548162E-16</v>
      </c>
    </row>
    <row r="8" spans="1:26">
      <c r="A8">
        <v>4</v>
      </c>
      <c r="B8">
        <f t="shared" ref="B8:B40" si="0">1 / A8</f>
        <v>0.25</v>
      </c>
      <c r="C8">
        <f t="shared" ref="C8:C40" si="1" xml:space="preserve"> ABS(D8 - $D$4)</f>
        <v>9.5833498536047057E-3</v>
      </c>
      <c r="D8" cm="1">
        <f t="array" ref="D8" xml:space="preserve"> obliczanie_calki_a(A8)</f>
        <v>-0.25958334985360471</v>
      </c>
      <c r="G8">
        <f t="shared" ref="G8:G40" si="2" xml:space="preserve"> 4 / A8</f>
        <v>1</v>
      </c>
      <c r="H8">
        <f t="shared" ref="H8:H40" si="3" xml:space="preserve"> ABS(I8 - $J$4)</f>
        <v>0.64068364436670944</v>
      </c>
      <c r="I8" cm="1">
        <f t="array" ref="I8" xml:space="preserve"> obliczanie_calki_b(A8)</f>
        <v>1.6895885618727524</v>
      </c>
      <c r="W8">
        <f t="shared" ref="W8:W40" si="4" xml:space="preserve"> 2 / A8</f>
        <v>0.5</v>
      </c>
      <c r="X8">
        <f t="shared" ref="X8:X40" si="5" xml:space="preserve"> ABS(Y8 - $Z$4)</f>
        <v>0</v>
      </c>
      <c r="Y8" cm="1">
        <f t="array" ref="Y8" xml:space="preserve"> obliczanie_calki_c(A8)</f>
        <v>0</v>
      </c>
    </row>
    <row r="9" spans="1:26">
      <c r="A9">
        <v>5</v>
      </c>
      <c r="B9">
        <f t="shared" si="0"/>
        <v>0.2</v>
      </c>
      <c r="C9">
        <f t="shared" si="1"/>
        <v>6.5041731452628593E-3</v>
      </c>
      <c r="D9" cm="1">
        <f t="array" ref="D9" xml:space="preserve"> obliczanie_calki_a(A9)</f>
        <v>-0.25650417314526286</v>
      </c>
      <c r="G9">
        <f t="shared" si="2"/>
        <v>0.8</v>
      </c>
      <c r="H9">
        <f t="shared" si="3"/>
        <v>0.4147322664415185</v>
      </c>
      <c r="I9" cm="1">
        <f t="array" ref="I9" xml:space="preserve"> obliczanie_calki_b(A9)</f>
        <v>1.9155399397979433</v>
      </c>
      <c r="W9">
        <f t="shared" si="4"/>
        <v>0.4</v>
      </c>
      <c r="X9">
        <f t="shared" si="5"/>
        <v>4.0129032909119733E-17</v>
      </c>
      <c r="Y9" cm="1">
        <f t="array" ref="Y9" xml:space="preserve"> obliczanie_calki_c(A9)</f>
        <v>4.0129032909119733E-17</v>
      </c>
    </row>
    <row r="10" spans="1:26">
      <c r="A10">
        <v>6</v>
      </c>
      <c r="B10">
        <f t="shared" si="0"/>
        <v>0.16666666666666666</v>
      </c>
      <c r="C10">
        <f t="shared" si="1"/>
        <v>4.7273989444157616E-3</v>
      </c>
      <c r="D10" cm="1">
        <f t="array" ref="D10" xml:space="preserve"> obliczanie_calki_a(A10)</f>
        <v>-0.25472739894441576</v>
      </c>
      <c r="G10">
        <f t="shared" si="2"/>
        <v>0.66666666666666663</v>
      </c>
      <c r="H10">
        <f t="shared" si="3"/>
        <v>0.28979454043587882</v>
      </c>
      <c r="I10" cm="1">
        <f t="array" ref="I10" xml:space="preserve"> obliczanie_calki_b(A10)</f>
        <v>2.040477665803583</v>
      </c>
      <c r="W10">
        <f t="shared" si="4"/>
        <v>0.33333333333333331</v>
      </c>
      <c r="X10">
        <f t="shared" si="5"/>
        <v>1.962405932198763E-17</v>
      </c>
      <c r="Y10" cm="1">
        <f t="array" ref="Y10" xml:space="preserve"> obliczanie_calki_c(A10)</f>
        <v>-1.962405932198763E-17</v>
      </c>
    </row>
    <row r="11" spans="1:26">
      <c r="A11">
        <v>7</v>
      </c>
      <c r="B11">
        <f t="shared" si="0"/>
        <v>0.14285714285714285</v>
      </c>
      <c r="C11">
        <f t="shared" si="1"/>
        <v>3.6040901609961096E-3</v>
      </c>
      <c r="D11" cm="1">
        <f t="array" ref="D11" xml:space="preserve"> obliczanie_calki_a(A11)</f>
        <v>-0.25360409016099611</v>
      </c>
      <c r="G11">
        <f t="shared" si="2"/>
        <v>0.5714285714285714</v>
      </c>
      <c r="H11">
        <f t="shared" si="3"/>
        <v>0.21370526402191414</v>
      </c>
      <c r="I11" cm="1">
        <f t="array" ref="I11" xml:space="preserve"> obliczanie_calki_b(A11)</f>
        <v>2.1165669422175477</v>
      </c>
      <c r="W11">
        <f t="shared" si="4"/>
        <v>0.2857142857142857</v>
      </c>
      <c r="X11">
        <f t="shared" si="5"/>
        <v>4.9331198848090452E-18</v>
      </c>
      <c r="Y11" cm="1">
        <f t="array" ref="Y11" xml:space="preserve"> obliczanie_calki_c(A11)</f>
        <v>-4.9331198848090452E-18</v>
      </c>
    </row>
    <row r="12" spans="1:26">
      <c r="A12">
        <v>8</v>
      </c>
      <c r="B12">
        <f t="shared" si="0"/>
        <v>0.125</v>
      </c>
      <c r="C12">
        <f t="shared" si="1"/>
        <v>2.846225714396855E-3</v>
      </c>
      <c r="D12" cm="1">
        <f t="array" ref="D12" xml:space="preserve"> obliczanie_calki_a(A12)</f>
        <v>-0.25284622571439686</v>
      </c>
      <c r="G12">
        <f t="shared" si="2"/>
        <v>0.5</v>
      </c>
      <c r="H12">
        <f t="shared" si="3"/>
        <v>0.16401431138851308</v>
      </c>
      <c r="I12" cm="1">
        <f t="array" ref="I12" xml:space="preserve"> obliczanie_calki_b(A12)</f>
        <v>2.1662578948509488</v>
      </c>
      <c r="W12">
        <f t="shared" si="4"/>
        <v>0.25</v>
      </c>
      <c r="X12">
        <f t="shared" si="5"/>
        <v>0</v>
      </c>
      <c r="Y12" cm="1">
        <f t="array" ref="Y12" xml:space="preserve"> obliczanie_calki_c(A12)</f>
        <v>0</v>
      </c>
    </row>
    <row r="13" spans="1:26">
      <c r="A13">
        <v>9</v>
      </c>
      <c r="B13">
        <f t="shared" si="0"/>
        <v>0.1111111111111111</v>
      </c>
      <c r="C13">
        <f t="shared" si="1"/>
        <v>2.309408695867099E-3</v>
      </c>
      <c r="D13" cm="1">
        <f t="array" ref="D13" xml:space="preserve"> obliczanie_calki_a(A13)</f>
        <v>-0.2523094086958671</v>
      </c>
      <c r="G13">
        <f t="shared" si="2"/>
        <v>0.44444444444444442</v>
      </c>
      <c r="H13">
        <f t="shared" si="3"/>
        <v>0.12980661124801829</v>
      </c>
      <c r="I13" cm="1">
        <f t="array" ref="I13" xml:space="preserve"> obliczanie_calki_b(A13)</f>
        <v>2.2004655949914436</v>
      </c>
      <c r="W13">
        <f t="shared" si="4"/>
        <v>0.22222222222222221</v>
      </c>
      <c r="X13">
        <f t="shared" si="5"/>
        <v>1.1793409131211074E-16</v>
      </c>
      <c r="Y13" cm="1">
        <f t="array" ref="Y13" xml:space="preserve"> obliczanie_calki_c(A13)</f>
        <v>-1.1793409131211074E-16</v>
      </c>
    </row>
    <row r="14" spans="1:26">
      <c r="A14">
        <v>10</v>
      </c>
      <c r="B14">
        <f t="shared" si="0"/>
        <v>0.1</v>
      </c>
      <c r="C14">
        <f t="shared" si="1"/>
        <v>1.9144928518892712E-3</v>
      </c>
      <c r="D14" cm="1">
        <f t="array" ref="D14" xml:space="preserve"> obliczanie_calki_a(A14)</f>
        <v>-0.25191449285188927</v>
      </c>
      <c r="G14">
        <f t="shared" si="2"/>
        <v>0.4</v>
      </c>
      <c r="H14">
        <f t="shared" si="3"/>
        <v>0.10526812749152725</v>
      </c>
      <c r="I14" cm="1">
        <f t="array" ref="I14" xml:space="preserve"> obliczanie_calki_b(A14)</f>
        <v>2.2250040787479346</v>
      </c>
      <c r="W14">
        <f t="shared" si="4"/>
        <v>0.2</v>
      </c>
      <c r="X14">
        <f t="shared" si="5"/>
        <v>5.6168448798327164E-17</v>
      </c>
      <c r="Y14" cm="1">
        <f t="array" ref="Y14" xml:space="preserve"> obliczanie_calki_c(A14)</f>
        <v>5.6168448798327164E-17</v>
      </c>
    </row>
    <row r="15" spans="1:26">
      <c r="A15">
        <v>11</v>
      </c>
      <c r="B15">
        <f t="shared" si="0"/>
        <v>9.0909090909090912E-2</v>
      </c>
      <c r="C15">
        <f t="shared" si="1"/>
        <v>1.6150284262111403E-3</v>
      </c>
      <c r="D15" cm="1">
        <f t="array" ref="D15" xml:space="preserve"> obliczanie_calki_a(A15)</f>
        <v>-0.25161502842621114</v>
      </c>
      <c r="G15">
        <f t="shared" si="2"/>
        <v>0.36363636363636365</v>
      </c>
      <c r="H15">
        <f t="shared" si="3"/>
        <v>8.707482391407817E-2</v>
      </c>
      <c r="I15" cm="1">
        <f t="array" ref="I15" xml:space="preserve"> obliczanie_calki_b(A15)</f>
        <v>2.2431973823253837</v>
      </c>
      <c r="W15">
        <f t="shared" si="4"/>
        <v>0.18181818181818182</v>
      </c>
      <c r="X15">
        <f t="shared" si="5"/>
        <v>8.1037336129713422E-17</v>
      </c>
      <c r="Y15" cm="1">
        <f t="array" ref="Y15" xml:space="preserve"> obliczanie_calki_c(A15)</f>
        <v>8.1037336129713422E-17</v>
      </c>
    </row>
    <row r="16" spans="1:26">
      <c r="A16">
        <v>12</v>
      </c>
      <c r="B16">
        <f t="shared" si="0"/>
        <v>8.3333333333333329E-2</v>
      </c>
      <c r="C16">
        <f t="shared" si="1"/>
        <v>1.3822382865298355E-3</v>
      </c>
      <c r="D16" cm="1">
        <f t="array" ref="D16" xml:space="preserve"> obliczanie_calki_a(A16)</f>
        <v>-0.25138223828652984</v>
      </c>
      <c r="G16">
        <f t="shared" si="2"/>
        <v>0.33333333333333331</v>
      </c>
      <c r="H16">
        <f t="shared" si="3"/>
        <v>7.3215884954250132E-2</v>
      </c>
      <c r="I16" cm="1">
        <f t="array" ref="I16" xml:space="preserve"> obliczanie_calki_b(A16)</f>
        <v>2.2570563212852117</v>
      </c>
      <c r="W16">
        <f t="shared" si="4"/>
        <v>0.16666666666666666</v>
      </c>
      <c r="X16">
        <f t="shared" si="5"/>
        <v>3.2919088462091128E-17</v>
      </c>
      <c r="Y16" cm="1">
        <f t="array" ref="Y16" xml:space="preserve"> obliczanie_calki_c(A16)</f>
        <v>-3.2919088462091128E-17</v>
      </c>
    </row>
    <row r="17" spans="1:25">
      <c r="A17">
        <v>13</v>
      </c>
      <c r="B17">
        <f t="shared" si="0"/>
        <v>7.6923076923076927E-2</v>
      </c>
      <c r="C17">
        <f t="shared" si="1"/>
        <v>1.1974921903605829E-3</v>
      </c>
      <c r="D17" cm="1">
        <f t="array" ref="D17" xml:space="preserve"> obliczanie_calki_a(A17)</f>
        <v>-0.25119749219036058</v>
      </c>
      <c r="G17">
        <f t="shared" si="2"/>
        <v>0.30769230769230771</v>
      </c>
      <c r="H17">
        <f t="shared" si="3"/>
        <v>6.2417541267506316E-2</v>
      </c>
      <c r="I17" cm="1">
        <f t="array" ref="I17" xml:space="preserve"> obliczanie_calki_b(A17)</f>
        <v>2.2678546649719555</v>
      </c>
      <c r="W17">
        <f t="shared" si="4"/>
        <v>0.15384615384615385</v>
      </c>
      <c r="X17">
        <f t="shared" si="5"/>
        <v>1.7564075194265172E-17</v>
      </c>
      <c r="Y17" cm="1">
        <f t="array" ref="Y17" xml:space="preserve"> obliczanie_calki_c(A17)</f>
        <v>1.7564075194265172E-17</v>
      </c>
    </row>
    <row r="18" spans="1:25">
      <c r="A18">
        <v>14</v>
      </c>
      <c r="B18">
        <f t="shared" si="0"/>
        <v>7.1428571428571425E-2</v>
      </c>
      <c r="C18">
        <f t="shared" si="1"/>
        <v>1.0482807319757148E-3</v>
      </c>
      <c r="D18" cm="1">
        <f t="array" ref="D18" xml:space="preserve"> obliczanie_calki_a(A18)</f>
        <v>-0.25104828073197571</v>
      </c>
      <c r="G18">
        <f t="shared" si="2"/>
        <v>0.2857142857142857</v>
      </c>
      <c r="H18">
        <f t="shared" si="3"/>
        <v>5.3841389252299976E-2</v>
      </c>
      <c r="I18" cm="1">
        <f t="array" ref="I18" xml:space="preserve"> obliczanie_calki_b(A18)</f>
        <v>2.2764308169871619</v>
      </c>
      <c r="W18">
        <f t="shared" si="4"/>
        <v>0.14285714285714285</v>
      </c>
      <c r="X18">
        <f t="shared" si="5"/>
        <v>1.7887302966937413E-16</v>
      </c>
      <c r="Y18" cm="1">
        <f t="array" ref="Y18" xml:space="preserve"> obliczanie_calki_c(A18)</f>
        <v>-1.7887302966937413E-16</v>
      </c>
    </row>
    <row r="19" spans="1:25">
      <c r="A19">
        <v>15</v>
      </c>
      <c r="B19">
        <f t="shared" si="0"/>
        <v>6.6666666666666666E-2</v>
      </c>
      <c r="C19">
        <f t="shared" si="1"/>
        <v>9.2594190438166635E-4</v>
      </c>
      <c r="D19" cm="1">
        <f t="array" ref="D19" xml:space="preserve"> obliczanie_calki_a(A19)</f>
        <v>-0.25092594190438167</v>
      </c>
      <c r="G19">
        <f t="shared" si="2"/>
        <v>0.26666666666666666</v>
      </c>
      <c r="H19">
        <f t="shared" si="3"/>
        <v>4.6917427348789342E-2</v>
      </c>
      <c r="I19" cm="1">
        <f t="array" ref="I19" xml:space="preserve"> obliczanie_calki_b(A19)</f>
        <v>2.2833547788906725</v>
      </c>
      <c r="W19">
        <f t="shared" si="4"/>
        <v>0.13333333333333333</v>
      </c>
      <c r="X19">
        <f t="shared" si="5"/>
        <v>2.2104171791548222E-17</v>
      </c>
      <c r="Y19" cm="1">
        <f t="array" ref="Y19" xml:space="preserve"> obliczanie_calki_c(A19)</f>
        <v>2.2104171791548222E-17</v>
      </c>
    </row>
    <row r="20" spans="1:25">
      <c r="A20">
        <v>17</v>
      </c>
      <c r="B20">
        <f t="shared" si="0"/>
        <v>5.8823529411764705E-2</v>
      </c>
      <c r="C20">
        <f t="shared" si="1"/>
        <v>7.3893032806926495E-4</v>
      </c>
      <c r="D20" cm="1">
        <f t="array" ref="D20" xml:space="preserve"> obliczanie_calki_a(A20)</f>
        <v>-0.25073893032806926</v>
      </c>
      <c r="G20">
        <f t="shared" si="2"/>
        <v>0.23529411764705882</v>
      </c>
      <c r="H20">
        <f t="shared" si="3"/>
        <v>3.6545588358934733E-2</v>
      </c>
      <c r="I20" cm="1">
        <f t="array" ref="I20" xml:space="preserve"> obliczanie_calki_b(A20)</f>
        <v>2.2937266178805271</v>
      </c>
      <c r="W20">
        <f t="shared" si="4"/>
        <v>0.11764705882352941</v>
      </c>
      <c r="X20">
        <f t="shared" si="5"/>
        <v>4.9873299934333204E-18</v>
      </c>
      <c r="Y20" cm="1">
        <f t="array" ref="Y20" xml:space="preserve"> obliczanie_calki_c(A20)</f>
        <v>-4.9873299934333204E-18</v>
      </c>
    </row>
    <row r="21" spans="1:25">
      <c r="A21">
        <v>20</v>
      </c>
      <c r="B21">
        <f t="shared" si="0"/>
        <v>0.05</v>
      </c>
      <c r="C21">
        <f t="shared" si="1"/>
        <v>5.5080330263240773E-4</v>
      </c>
      <c r="D21" cm="1">
        <f t="array" ref="D21" xml:space="preserve"> obliczanie_calki_a(A21)</f>
        <v>-0.25055080330263241</v>
      </c>
      <c r="G21">
        <f t="shared" si="2"/>
        <v>0.2</v>
      </c>
      <c r="H21">
        <f t="shared" si="3"/>
        <v>2.641700770837474E-2</v>
      </c>
      <c r="I21" cm="1">
        <f t="array" ref="I21" xml:space="preserve"> obliczanie_calki_b(A21)</f>
        <v>2.3038551985310871</v>
      </c>
      <c r="W21">
        <f t="shared" si="4"/>
        <v>0.1</v>
      </c>
      <c r="X21">
        <f t="shared" si="5"/>
        <v>8.4947240214239272E-17</v>
      </c>
      <c r="Y21" cm="1">
        <f t="array" ref="Y21" xml:space="preserve"> obliczanie_calki_c(A21)</f>
        <v>8.4947240214239272E-17</v>
      </c>
    </row>
    <row r="22" spans="1:25">
      <c r="A22">
        <v>25</v>
      </c>
      <c r="B22">
        <f t="shared" si="0"/>
        <v>0.04</v>
      </c>
      <c r="C22">
        <f t="shared" si="1"/>
        <v>3.6738860157198294E-4</v>
      </c>
      <c r="D22" cm="1">
        <f t="array" ref="D22" xml:space="preserve"> obliczanie_calki_a(A22)</f>
        <v>-0.25036738860157198</v>
      </c>
      <c r="G22">
        <f t="shared" si="2"/>
        <v>0.16</v>
      </c>
      <c r="H22">
        <f t="shared" si="3"/>
        <v>1.6914578835510508E-2</v>
      </c>
      <c r="I22" cm="1">
        <f t="array" ref="I22" xml:space="preserve"> obliczanie_calki_b(A22)</f>
        <v>2.3133576274039513</v>
      </c>
      <c r="W22">
        <f t="shared" si="4"/>
        <v>0.08</v>
      </c>
      <c r="X22">
        <f t="shared" si="5"/>
        <v>3.4223519200862751E-17</v>
      </c>
      <c r="Y22" cm="1">
        <f t="array" ref="Y22" xml:space="preserve"> obliczanie_calki_c(A22)</f>
        <v>3.4223519200862751E-17</v>
      </c>
    </row>
    <row r="23" spans="1:25">
      <c r="A23">
        <v>50</v>
      </c>
      <c r="B23">
        <f t="shared" si="0"/>
        <v>0.02</v>
      </c>
      <c r="C23">
        <f t="shared" si="1"/>
        <v>1.0339902025335856E-4</v>
      </c>
      <c r="D23" cm="1">
        <f t="array" ref="D23" xml:space="preserve"> obliczanie_calki_a(A23)</f>
        <v>-0.25010339902025336</v>
      </c>
      <c r="G23">
        <f t="shared" si="2"/>
        <v>0.08</v>
      </c>
      <c r="H23">
        <f t="shared" si="3"/>
        <v>4.2312106584221354E-3</v>
      </c>
      <c r="I23" cm="1">
        <f t="array" ref="I23" xml:space="preserve"> obliczanie_calki_b(A23)</f>
        <v>2.3260409955810397</v>
      </c>
      <c r="W23">
        <f t="shared" si="4"/>
        <v>0.04</v>
      </c>
      <c r="X23">
        <f t="shared" si="5"/>
        <v>1.565316886525947E-18</v>
      </c>
      <c r="Y23" cm="1">
        <f t="array" ref="Y23" xml:space="preserve"> obliczanie_calki_c(A23)</f>
        <v>1.565316886525947E-18</v>
      </c>
    </row>
    <row r="24" spans="1:25">
      <c r="A24">
        <v>75</v>
      </c>
      <c r="B24">
        <f t="shared" si="0"/>
        <v>1.3333333333333334E-2</v>
      </c>
      <c r="C24">
        <f t="shared" si="1"/>
        <v>4.8958517351260777E-5</v>
      </c>
      <c r="D24" cm="1">
        <f t="array" ref="D24" xml:space="preserve"> obliczanie_calki_a(A24)</f>
        <v>-0.25004895851735126</v>
      </c>
      <c r="G24">
        <f t="shared" si="2"/>
        <v>5.3333333333333337E-2</v>
      </c>
      <c r="H24">
        <f t="shared" si="3"/>
        <v>1.8807493330292857E-3</v>
      </c>
      <c r="I24" cm="1">
        <f t="array" ref="I24" xml:space="preserve"> obliczanie_calki_b(A24)</f>
        <v>2.3283914569064326</v>
      </c>
      <c r="W24">
        <f t="shared" si="4"/>
        <v>2.6666666666666668E-2</v>
      </c>
      <c r="X24">
        <f t="shared" si="5"/>
        <v>6.1299774392793716E-17</v>
      </c>
      <c r="Y24" cm="1">
        <f t="array" ref="Y24" xml:space="preserve"> obliczanie_calki_c(A24)</f>
        <v>6.1299774392793716E-17</v>
      </c>
    </row>
    <row r="25" spans="1:25">
      <c r="A25">
        <v>100</v>
      </c>
      <c r="B25">
        <f t="shared" si="0"/>
        <v>0.01</v>
      </c>
      <c r="C25">
        <f t="shared" si="1"/>
        <v>2.8737831860192742E-5</v>
      </c>
      <c r="D25" cm="1">
        <f t="array" ref="D25" xml:space="preserve"> obliczanie_calki_a(A25)</f>
        <v>-0.25002873783186019</v>
      </c>
      <c r="G25">
        <f t="shared" si="2"/>
        <v>0.04</v>
      </c>
      <c r="H25">
        <f t="shared" si="3"/>
        <v>1.0579630952038954E-3</v>
      </c>
      <c r="I25" cm="1">
        <f t="array" ref="I25" xml:space="preserve"> obliczanie_calki_b(A25)</f>
        <v>2.329214243144258</v>
      </c>
      <c r="W25">
        <f t="shared" si="4"/>
        <v>0.02</v>
      </c>
      <c r="X25">
        <f t="shared" si="5"/>
        <v>6.1982482948280682E-17</v>
      </c>
      <c r="Y25" cm="1">
        <f t="array" ref="Y25" xml:space="preserve"> obliczanie_calki_c(A25)</f>
        <v>6.1982482948280682E-17</v>
      </c>
    </row>
    <row r="26" spans="1:25">
      <c r="A26">
        <v>200</v>
      </c>
      <c r="B26">
        <f t="shared" si="0"/>
        <v>5.0000000000000001E-3</v>
      </c>
      <c r="C26">
        <f t="shared" si="1"/>
        <v>7.9064839996201286E-6</v>
      </c>
      <c r="D26" cm="1">
        <f t="array" ref="D26" xml:space="preserve"> obliczanie_calki_a(A26)</f>
        <v>-0.25000790648399962</v>
      </c>
      <c r="G26">
        <f t="shared" si="2"/>
        <v>0.02</v>
      </c>
      <c r="H26">
        <f t="shared" si="3"/>
        <v>2.6450080163309408E-4</v>
      </c>
      <c r="I26" cm="1">
        <f t="array" ref="I26" xml:space="preserve"> obliczanie_calki_b(A26)</f>
        <v>2.3300077054378288</v>
      </c>
      <c r="W26">
        <f t="shared" si="4"/>
        <v>0.01</v>
      </c>
      <c r="X26">
        <f t="shared" si="5"/>
        <v>5.8017945238656929E-17</v>
      </c>
      <c r="Y26" cm="1">
        <f t="array" ref="Y26" xml:space="preserve"> obliczanie_calki_c(A26)</f>
        <v>5.8017945238656929E-17</v>
      </c>
    </row>
    <row r="27" spans="1:25">
      <c r="A27">
        <v>500</v>
      </c>
      <c r="B27">
        <f t="shared" si="0"/>
        <v>2E-3</v>
      </c>
      <c r="C27">
        <f t="shared" si="1"/>
        <v>1.4177524598757429E-6</v>
      </c>
      <c r="D27" cm="1">
        <f t="array" ref="D27" xml:space="preserve"> obliczanie_calki_a(A27)</f>
        <v>-0.25000141775245988</v>
      </c>
      <c r="G27">
        <f t="shared" si="2"/>
        <v>8.0000000000000002E-3</v>
      </c>
      <c r="H27">
        <f t="shared" si="3"/>
        <v>4.2320577516630209E-5</v>
      </c>
      <c r="I27" cm="1">
        <f t="array" ref="I27" xml:space="preserve"> obliczanie_calki_b(A27)</f>
        <v>2.3302298856619452</v>
      </c>
      <c r="W27">
        <f t="shared" si="4"/>
        <v>4.0000000000000001E-3</v>
      </c>
      <c r="X27">
        <f t="shared" si="5"/>
        <v>3.5804717955149716E-17</v>
      </c>
      <c r="Y27" cm="1">
        <f t="array" ref="Y27" xml:space="preserve"> obliczanie_calki_c(A27)</f>
        <v>3.5804717955149716E-17</v>
      </c>
    </row>
    <row r="28" spans="1:25">
      <c r="A28">
        <v>750</v>
      </c>
      <c r="B28">
        <f t="shared" si="0"/>
        <v>1.3333333333333333E-3</v>
      </c>
      <c r="C28">
        <f t="shared" si="1"/>
        <v>6.6014665189850774E-7</v>
      </c>
      <c r="D28" cm="1">
        <f t="array" ref="D28" xml:space="preserve"> obliczanie_calki_a(A28)</f>
        <v>-0.2500006601466519</v>
      </c>
      <c r="G28">
        <f t="shared" si="2"/>
        <v>5.3333333333333332E-3</v>
      </c>
      <c r="H28">
        <f t="shared" si="3"/>
        <v>1.8809166690392232E-5</v>
      </c>
      <c r="I28" cm="1">
        <f t="array" ref="I28" xml:space="preserve"> obliczanie_calki_b(A28)</f>
        <v>2.3302533970727715</v>
      </c>
      <c r="W28">
        <f t="shared" si="4"/>
        <v>2.6666666666666666E-3</v>
      </c>
      <c r="X28">
        <f t="shared" si="5"/>
        <v>3.7578616704937035E-18</v>
      </c>
      <c r="Y28" cm="1">
        <f t="array" ref="Y28" xml:space="preserve"> obliczanie_calki_c(A28)</f>
        <v>3.7578616704937035E-18</v>
      </c>
    </row>
    <row r="29" spans="1:25">
      <c r="A29">
        <v>1000</v>
      </c>
      <c r="B29">
        <f t="shared" si="0"/>
        <v>1E-3</v>
      </c>
      <c r="C29">
        <f t="shared" si="1"/>
        <v>3.8331924390178074E-7</v>
      </c>
      <c r="D29" cm="1">
        <f t="array" ref="D29" xml:space="preserve"> obliczanie_calki_a(A29)</f>
        <v>-0.2500003833192439</v>
      </c>
      <c r="G29">
        <f t="shared" si="2"/>
        <v>4.0000000000000001E-3</v>
      </c>
      <c r="H29">
        <f t="shared" si="3"/>
        <v>1.0580160425988083E-5</v>
      </c>
      <c r="I29" cm="1">
        <f t="array" ref="I29" xml:space="preserve"> obliczanie_calki_b(A29)</f>
        <v>2.3302616260790359</v>
      </c>
      <c r="W29">
        <f t="shared" si="4"/>
        <v>2E-3</v>
      </c>
      <c r="X29">
        <f t="shared" si="5"/>
        <v>2.8957727126019579E-17</v>
      </c>
      <c r="Y29" cm="1">
        <f t="array" ref="Y29" xml:space="preserve"> obliczanie_calki_c(A29)</f>
        <v>2.8957727126019579E-17</v>
      </c>
    </row>
    <row r="30" spans="1:25">
      <c r="A30">
        <v>1250</v>
      </c>
      <c r="B30">
        <f t="shared" si="0"/>
        <v>8.0000000000000004E-4</v>
      </c>
      <c r="C30">
        <f t="shared" si="1"/>
        <v>2.5127481051434586E-7</v>
      </c>
      <c r="D30" cm="1">
        <f t="array" ref="D30" xml:space="preserve"> obliczanie_calki_a(A30)</f>
        <v>-0.25000025127481051</v>
      </c>
      <c r="G30">
        <f t="shared" si="2"/>
        <v>3.2000000000000002E-3</v>
      </c>
      <c r="H30">
        <f t="shared" si="3"/>
        <v>6.7713039006989106E-6</v>
      </c>
      <c r="I30" cm="1">
        <f t="array" ref="I30" xml:space="preserve"> obliczanie_calki_b(A30)</f>
        <v>2.3302654349355612</v>
      </c>
      <c r="W30">
        <f t="shared" si="4"/>
        <v>1.6000000000000001E-3</v>
      </c>
      <c r="X30">
        <f t="shared" si="5"/>
        <v>2.8054101789976851E-17</v>
      </c>
      <c r="Y30" cm="1">
        <f t="array" ref="Y30" xml:space="preserve"> obliczanie_calki_c(A30)</f>
        <v>2.8054101789976851E-17</v>
      </c>
    </row>
    <row r="31" spans="1:25">
      <c r="A31">
        <v>1500</v>
      </c>
      <c r="B31">
        <f t="shared" si="0"/>
        <v>6.6666666666666664E-4</v>
      </c>
      <c r="C31">
        <f t="shared" si="1"/>
        <v>1.7787272121871922E-7</v>
      </c>
      <c r="D31" cm="1">
        <f t="array" ref="D31" xml:space="preserve"> obliczanie_calki_a(A31)</f>
        <v>-0.25000017787272122</v>
      </c>
      <c r="G31">
        <f t="shared" si="2"/>
        <v>2.6666666666666666E-3</v>
      </c>
      <c r="H31">
        <f t="shared" si="3"/>
        <v>4.7022948472807968E-6</v>
      </c>
      <c r="I31" cm="1">
        <f t="array" ref="I31" xml:space="preserve"> obliczanie_calki_b(A31)</f>
        <v>2.3302675039446146</v>
      </c>
      <c r="W31">
        <f t="shared" si="4"/>
        <v>1.3333333333333333E-3</v>
      </c>
      <c r="X31">
        <f t="shared" si="5"/>
        <v>1.2215522706519335E-16</v>
      </c>
      <c r="Y31" cm="1">
        <f t="array" ref="Y31" xml:space="preserve"> obliczanie_calki_c(A31)</f>
        <v>-1.2215522706519335E-16</v>
      </c>
    </row>
    <row r="32" spans="1:25">
      <c r="A32">
        <v>2000</v>
      </c>
      <c r="B32">
        <f t="shared" si="0"/>
        <v>5.0000000000000001E-4</v>
      </c>
      <c r="C32">
        <f t="shared" si="1"/>
        <v>1.0305009351396777E-7</v>
      </c>
      <c r="D32" cm="1">
        <f t="array" ref="D32" xml:space="preserve"> obliczanie_calki_a(A32)</f>
        <v>-0.25000010305009351</v>
      </c>
      <c r="G32">
        <f t="shared" si="2"/>
        <v>2E-3</v>
      </c>
      <c r="H32">
        <f t="shared" si="3"/>
        <v>2.6450411025891185E-6</v>
      </c>
      <c r="I32" cm="1">
        <f t="array" ref="I32" xml:space="preserve"> obliczanie_calki_b(A32)</f>
        <v>2.3302695611983593</v>
      </c>
      <c r="W32">
        <f t="shared" si="4"/>
        <v>1E-3</v>
      </c>
      <c r="X32">
        <f t="shared" si="5"/>
        <v>2.9237936212883142E-17</v>
      </c>
      <c r="Y32" cm="1">
        <f t="array" ref="Y32" xml:space="preserve"> obliczanie_calki_c(A32)</f>
        <v>-2.9237936212883142E-17</v>
      </c>
    </row>
    <row r="33" spans="1:25">
      <c r="A33">
        <v>3000</v>
      </c>
      <c r="B33">
        <f t="shared" si="0"/>
        <v>3.3333333333333332E-4</v>
      </c>
      <c r="C33">
        <f t="shared" si="1"/>
        <v>4.7677194858763983E-8</v>
      </c>
      <c r="D33" cm="1">
        <f t="array" ref="D33" xml:space="preserve"> obliczanie_calki_a(A33)</f>
        <v>-0.25000004767719486</v>
      </c>
      <c r="G33">
        <f t="shared" si="2"/>
        <v>1.3333333333333333E-3</v>
      </c>
      <c r="H33">
        <f t="shared" si="3"/>
        <v>1.1755739004470911E-6</v>
      </c>
      <c r="I33" cm="1">
        <f t="array" ref="I33" xml:space="preserve"> obliczanie_calki_b(A33)</f>
        <v>2.3302710306655614</v>
      </c>
      <c r="W33">
        <f t="shared" si="4"/>
        <v>6.6666666666666664E-4</v>
      </c>
      <c r="X33">
        <f t="shared" si="5"/>
        <v>7.3350512133380646E-17</v>
      </c>
      <c r="Y33" cm="1">
        <f t="array" ref="Y33" xml:space="preserve"> obliczanie_calki_c(A33)</f>
        <v>-7.3350512133380646E-17</v>
      </c>
    </row>
    <row r="34" spans="1:25">
      <c r="A34">
        <v>4000</v>
      </c>
      <c r="B34">
        <f t="shared" si="0"/>
        <v>2.5000000000000001E-4</v>
      </c>
      <c r="C34">
        <f t="shared" si="1"/>
        <v>2.7567593430255499E-8</v>
      </c>
      <c r="D34" cm="1">
        <f t="array" ref="D34" xml:space="preserve"> obliczanie_calki_a(A34)</f>
        <v>-0.25000002756759343</v>
      </c>
      <c r="G34">
        <f t="shared" si="2"/>
        <v>1E-3</v>
      </c>
      <c r="H34">
        <f t="shared" si="3"/>
        <v>6.6126034559133018E-7</v>
      </c>
      <c r="I34" cm="1">
        <f t="array" ref="I34" xml:space="preserve"> obliczanie_calki_b(A34)</f>
        <v>2.3302715449791163</v>
      </c>
      <c r="W34">
        <f t="shared" si="4"/>
        <v>5.0000000000000001E-4</v>
      </c>
      <c r="X34">
        <f t="shared" si="5"/>
        <v>5.139134179449052E-18</v>
      </c>
      <c r="Y34" cm="1">
        <f t="array" ref="Y34" xml:space="preserve"> obliczanie_calki_c(A34)</f>
        <v>-5.139134179449052E-18</v>
      </c>
    </row>
    <row r="35" spans="1:25">
      <c r="A35">
        <v>5000</v>
      </c>
      <c r="B35">
        <f t="shared" si="0"/>
        <v>2.0000000000000001E-4</v>
      </c>
      <c r="C35">
        <f t="shared" si="1"/>
        <v>1.8015166136642335E-8</v>
      </c>
      <c r="D35" cm="1">
        <f t="array" ref="D35" xml:space="preserve"> obliczanie_calki_a(A35)</f>
        <v>-0.25000001801516614</v>
      </c>
      <c r="G35">
        <f t="shared" si="2"/>
        <v>8.0000000000000004E-4</v>
      </c>
      <c r="H35">
        <f t="shared" si="3"/>
        <v>4.2320661597372577E-7</v>
      </c>
      <c r="I35" cm="1">
        <f t="array" ref="I35" xml:space="preserve"> obliczanie_calki_b(A35)</f>
        <v>2.3302717830328459</v>
      </c>
      <c r="W35">
        <f t="shared" si="4"/>
        <v>4.0000000000000002E-4</v>
      </c>
      <c r="X35">
        <f t="shared" si="5"/>
        <v>7.3803277713467672E-17</v>
      </c>
      <c r="Y35" cm="1">
        <f t="array" ref="Y35" xml:space="preserve"> obliczanie_calki_c(A35)</f>
        <v>7.3803277713467672E-17</v>
      </c>
    </row>
    <row r="36" spans="1:25">
      <c r="A36">
        <v>6000</v>
      </c>
      <c r="B36">
        <f t="shared" si="0"/>
        <v>1.6666666666666666E-4</v>
      </c>
      <c r="C36">
        <f t="shared" si="1"/>
        <v>1.272155247811213E-8</v>
      </c>
      <c r="D36" cm="1">
        <f t="array" ref="D36" xml:space="preserve"> obliczanie_calki_a(A36)</f>
        <v>-0.25000001272155248</v>
      </c>
      <c r="G36">
        <f t="shared" si="2"/>
        <v>6.6666666666666664E-4</v>
      </c>
      <c r="H36">
        <f t="shared" si="3"/>
        <v>2.9389349043285051E-7</v>
      </c>
      <c r="I36" cm="1">
        <f t="array" ref="I36" xml:space="preserve"> obliczanie_calki_b(A36)</f>
        <v>2.3302719123459714</v>
      </c>
      <c r="W36">
        <f t="shared" si="4"/>
        <v>3.3333333333333332E-4</v>
      </c>
      <c r="X36">
        <f t="shared" si="5"/>
        <v>1.9321840613385256E-17</v>
      </c>
      <c r="Y36" cm="1">
        <f t="array" ref="Y36" xml:space="preserve"> obliczanie_calki_c(A36)</f>
        <v>1.9321840613385256E-17</v>
      </c>
    </row>
    <row r="37" spans="1:25">
      <c r="A37">
        <v>7000</v>
      </c>
      <c r="B37">
        <f t="shared" si="0"/>
        <v>1.4285714285714287E-4</v>
      </c>
      <c r="C37">
        <f t="shared" si="1"/>
        <v>9.4775259862345251E-9</v>
      </c>
      <c r="D37" cm="1">
        <f t="array" ref="D37" xml:space="preserve"> obliczanie_calki_a(A37)</f>
        <v>-0.25000000947752599</v>
      </c>
      <c r="G37">
        <f t="shared" si="2"/>
        <v>5.7142857142857147E-4</v>
      </c>
      <c r="H37">
        <f t="shared" si="3"/>
        <v>2.1592175025730853E-7</v>
      </c>
      <c r="I37" cm="1">
        <f t="array" ref="I37" xml:space="preserve"> obliczanie_calki_b(A37)</f>
        <v>2.3302719903177116</v>
      </c>
      <c r="W37">
        <f t="shared" si="4"/>
        <v>2.8571428571428574E-4</v>
      </c>
      <c r="X37">
        <f t="shared" si="5"/>
        <v>8.8234760370990424E-17</v>
      </c>
      <c r="Y37" cm="1">
        <f t="array" ref="Y37" xml:space="preserve"> obliczanie_calki_c(A37)</f>
        <v>8.8234760370990424E-17</v>
      </c>
    </row>
    <row r="38" spans="1:25">
      <c r="A38">
        <v>8000</v>
      </c>
      <c r="B38">
        <f t="shared" si="0"/>
        <v>1.25E-4</v>
      </c>
      <c r="C38">
        <f t="shared" si="1"/>
        <v>7.3431674629809152E-9</v>
      </c>
      <c r="D38" cm="1">
        <f t="array" ref="D38" xml:space="preserve"> obliczanie_calki_a(A38)</f>
        <v>-0.25000000734316746</v>
      </c>
      <c r="G38">
        <f t="shared" si="2"/>
        <v>5.0000000000000001E-4</v>
      </c>
      <c r="H38">
        <f t="shared" si="3"/>
        <v>1.653150887293009E-7</v>
      </c>
      <c r="I38" cm="1">
        <f t="array" ref="I38" xml:space="preserve"> obliczanie_calki_b(A38)</f>
        <v>2.3302720409243731</v>
      </c>
      <c r="W38">
        <f t="shared" si="4"/>
        <v>2.5000000000000001E-4</v>
      </c>
      <c r="X38">
        <f t="shared" si="5"/>
        <v>2.4448983982674739E-17</v>
      </c>
      <c r="Y38" cm="1">
        <f t="array" ref="Y38" xml:space="preserve"> obliczanie_calki_c(A38)</f>
        <v>-2.4448983982674739E-17</v>
      </c>
    </row>
    <row r="39" spans="1:25">
      <c r="A39">
        <v>9000</v>
      </c>
      <c r="B39">
        <f t="shared" si="0"/>
        <v>1.1111111111111112E-4</v>
      </c>
      <c r="C39">
        <f t="shared" si="1"/>
        <v>5.862595076067123E-9</v>
      </c>
      <c r="D39" cm="1">
        <f t="array" ref="D39" xml:space="preserve"> obliczanie_calki_a(A39)</f>
        <v>-0.25000000586259508</v>
      </c>
      <c r="G39">
        <f t="shared" si="2"/>
        <v>4.4444444444444447E-4</v>
      </c>
      <c r="H39">
        <f t="shared" si="3"/>
        <v>1.3061931625202305E-7</v>
      </c>
      <c r="I39" cm="1">
        <f t="array" ref="I39" xml:space="preserve"> obliczanie_calki_b(A39)</f>
        <v>2.3302720756201456</v>
      </c>
      <c r="W39">
        <f t="shared" si="4"/>
        <v>2.2222222222222223E-4</v>
      </c>
      <c r="X39">
        <f t="shared" si="5"/>
        <v>1.1393823323577328E-16</v>
      </c>
      <c r="Y39" cm="1">
        <f t="array" ref="Y39" xml:space="preserve"> obliczanie_calki_c(A39)</f>
        <v>1.1393823323577328E-16</v>
      </c>
    </row>
    <row r="40" spans="1:25">
      <c r="A40">
        <v>10000</v>
      </c>
      <c r="B40">
        <f t="shared" si="0"/>
        <v>1E-4</v>
      </c>
      <c r="C40">
        <f t="shared" si="1"/>
        <v>4.7926030921630058E-9</v>
      </c>
      <c r="D40" cm="1">
        <f t="array" ref="D40" xml:space="preserve"> obliczanie_calki_a(A40)</f>
        <v>-0.25000000479260309</v>
      </c>
      <c r="G40">
        <f t="shared" si="2"/>
        <v>4.0000000000000002E-4</v>
      </c>
      <c r="H40">
        <f t="shared" si="3"/>
        <v>1.0580164788720481E-7</v>
      </c>
      <c r="I40" cm="1">
        <f t="array" ref="I40" xml:space="preserve"> obliczanie_calki_b(A40)</f>
        <v>2.330272100437814</v>
      </c>
      <c r="W40">
        <f t="shared" si="4"/>
        <v>2.0000000000000001E-4</v>
      </c>
      <c r="X40">
        <f t="shared" si="5"/>
        <v>3.0119313699170645E-17</v>
      </c>
      <c r="Y40" cm="1">
        <f t="array" ref="Y40" xml:space="preserve"> obliczanie_calki_c(A40)</f>
        <v>-3.0119313699170645E-17</v>
      </c>
    </row>
    <row r="45" spans="1:25">
      <c r="C45" t="s">
        <v>9</v>
      </c>
    </row>
    <row r="46" spans="1:25">
      <c r="C46" t="s">
        <v>10</v>
      </c>
    </row>
    <row r="47" spans="1:25">
      <c r="C47" t="s">
        <v>11</v>
      </c>
    </row>
    <row r="48" spans="1:25">
      <c r="C48" t="s">
        <v>12</v>
      </c>
    </row>
    <row r="49" spans="3:3">
      <c r="C49" t="s">
        <v>13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7865B27B34A14941933CA28510E02670" ma:contentTypeVersion="9" ma:contentTypeDescription="Utwórz nowy dokument." ma:contentTypeScope="" ma:versionID="a567fc23d65e30db17de4f97d86d4939">
  <xsd:schema xmlns:xsd="http://www.w3.org/2001/XMLSchema" xmlns:xs="http://www.w3.org/2001/XMLSchema" xmlns:p="http://schemas.microsoft.com/office/2006/metadata/properties" xmlns:ns2="a2b08649-6cc7-4df6-8ccb-e514d8d0c671" targetNamespace="http://schemas.microsoft.com/office/2006/metadata/properties" ma:root="true" ma:fieldsID="2c16956e82d95da7362e8d6096b768eb" ns2:_="">
    <xsd:import namespace="a2b08649-6cc7-4df6-8ccb-e514d8d0c671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b08649-6cc7-4df6-8ccb-e514d8d0c671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a2b08649-6cc7-4df6-8ccb-e514d8d0c671" xsi:nil="true"/>
  </documentManagement>
</p:properties>
</file>

<file path=customXml/itemProps1.xml><?xml version="1.0" encoding="utf-8"?>
<ds:datastoreItem xmlns:ds="http://schemas.openxmlformats.org/officeDocument/2006/customXml" ds:itemID="{D077C62F-4145-4226-A84A-19E33D90FD80}"/>
</file>

<file path=customXml/itemProps2.xml><?xml version="1.0" encoding="utf-8"?>
<ds:datastoreItem xmlns:ds="http://schemas.openxmlformats.org/officeDocument/2006/customXml" ds:itemID="{73FDCB18-D5CF-4E94-955A-42686D1A1387}"/>
</file>

<file path=customXml/itemProps3.xml><?xml version="1.0" encoding="utf-8"?>
<ds:datastoreItem xmlns:ds="http://schemas.openxmlformats.org/officeDocument/2006/customXml" ds:itemID="{62332FE7-E44B-483D-B97B-8BEA9C2FDF8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Niewęgłowski Mariusz</cp:lastModifiedBy>
  <cp:revision/>
  <dcterms:created xsi:type="dcterms:W3CDTF">2021-11-01T17:18:08Z</dcterms:created>
  <dcterms:modified xsi:type="dcterms:W3CDTF">2022-01-22T15:42:52Z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0x0101007865B27B34A14941933CA28510E02670</vt:lpwstr>
  </property>
</Properties>
</file>